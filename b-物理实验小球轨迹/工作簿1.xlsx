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<sst xmlns="http://schemas.openxmlformats.org/spreadsheetml/2006/main" count="12" uniqueCount="12">
  <si>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帧数</t>
  </si>
  <si>
    <t>X(cm)</t>
  </si>
  <si>
    <t>Y(cm)</t>
  </si>
  <si>
    <t>Δx</t>
  </si>
  <si>
    <t>VX(m/s)</t>
  </si>
  <si>
    <t>ΔY</t>
  </si>
  <si>
    <t>VY(m/s)</t>
  </si>
  <si>
    <t>ΔVY(m/s)</t>
  </si>
  <si>
    <t>aY(m/s2)</t>
  </si>
  <si>
    <t>ΔVX(m/s)</t>
  </si>
  <si>
    <t>aX(m/s2)</t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</si>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</sst>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抛物运动的轨迹图像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X(cm)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Sheet1!$B$2:$B$16</c:f>
              <c:numCache>
                <c:formatCode>General</c:formatCode>
                <c:ptCount val="15"/>
                <c:pt idx="0">
                  <c:v>2</c:v>
                </c:pt>
                <c:pt idx="1">
                  <c:v>6.3</c:v>
                </c:pt>
                <c:pt idx="2">
                  <c:v>10.8</c:v>
                </c:pt>
                <c:pt idx="3">
                  <c:v>15.2</c:v>
                </c:pt>
                <c:pt idx="4">
                  <c:v>19.6</c:v>
                </c:pt>
                <c:pt idx="5">
                  <c:v>23.8</c:v>
                </c:pt>
                <c:pt idx="6">
                  <c:v>28.2</c:v>
                </c:pt>
                <c:pt idx="7">
                  <c:v>32.8</c:v>
                </c:pt>
                <c:pt idx="8">
                  <c:v>37.1</c:v>
                </c:pt>
                <c:pt idx="9">
                  <c:v>41.4</c:v>
                </c:pt>
                <c:pt idx="10">
                  <c:v>45.8</c:v>
                </c:pt>
                <c:pt idx="11">
                  <c:v>50.2</c:v>
                </c:pt>
                <c:pt idx="12">
                  <c:v>54.5</c:v>
                </c:pt>
                <c:pt idx="13">
                  <c:v>59.1</c:v>
                </c:pt>
                <c:pt idx="14">
                  <c:v>63.5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Y(cm)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val>
            <c:numRef>
              <c:f>Sheet1!$C$2:$C$16</c:f>
              <c:numCache>
                <c:formatCode>General</c:formatCode>
                <c:ptCount val="15"/>
                <c:pt idx="0">
                  <c:v>55.1</c:v>
                </c:pt>
                <c:pt idx="1">
                  <c:v>50</c:v>
                </c:pt>
                <c:pt idx="2">
                  <c:v>46</c:v>
                </c:pt>
                <c:pt idx="3">
                  <c:v>42.8</c:v>
                </c:pt>
                <c:pt idx="4">
                  <c:v>40.5</c:v>
                </c:pt>
                <c:pt idx="5">
                  <c:v>39.7</c:v>
                </c:pt>
                <c:pt idx="6">
                  <c:v>39.9</c:v>
                </c:pt>
                <c:pt idx="7">
                  <c:v>40.8</c:v>
                </c:pt>
                <c:pt idx="8">
                  <c:v>43.1</c:v>
                </c:pt>
                <c:pt idx="9">
                  <c:v>46.6</c:v>
                </c:pt>
                <c:pt idx="10">
                  <c:v>50.8</c:v>
                </c:pt>
                <c:pt idx="11">
                  <c:v>56.1</c:v>
                </c:pt>
                <c:pt idx="12">
                  <c:v>62.5</c:v>
                </c:pt>
                <c:pt idx="13">
                  <c:v>70.3</c:v>
                </c:pt>
                <c:pt idx="14">
                  <c:v>79.1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49330052"/>
        <c:axId val="815692848"/>
      </c:lineChart>
      <c:catAx>
        <c:axId val="5493300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5692848"/>
        <c:crosses val="autoZero"/>
        <c:auto val="1"/>
        <c:lblAlgn val="ctr"/>
        <c:lblOffset val="100"/>
        <c:noMultiLvlLbl val="0"/>
      </c:catAx>
      <c:valAx>
        <c:axId val="81569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93300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抛物运动的速度图像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VX(m/s)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Sheet1!$E$2:$E$15</c:f>
              <c:numCache>
                <c:formatCode>General</c:formatCode>
                <c:ptCount val="14"/>
                <c:pt idx="0">
                  <c:v>1.29</c:v>
                </c:pt>
                <c:pt idx="1">
                  <c:v>1.35</c:v>
                </c:pt>
                <c:pt idx="2">
                  <c:v>1.32</c:v>
                </c:pt>
                <c:pt idx="3">
                  <c:v>1.32</c:v>
                </c:pt>
                <c:pt idx="4">
                  <c:v>1.26</c:v>
                </c:pt>
                <c:pt idx="5">
                  <c:v>1.32</c:v>
                </c:pt>
                <c:pt idx="6">
                  <c:v>1.38</c:v>
                </c:pt>
                <c:pt idx="7">
                  <c:v>1.29</c:v>
                </c:pt>
                <c:pt idx="8">
                  <c:v>1.29</c:v>
                </c:pt>
                <c:pt idx="9">
                  <c:v>1.32</c:v>
                </c:pt>
                <c:pt idx="10">
                  <c:v>1.32</c:v>
                </c:pt>
                <c:pt idx="11">
                  <c:v>1.29</c:v>
                </c:pt>
                <c:pt idx="12">
                  <c:v>1.38</c:v>
                </c:pt>
                <c:pt idx="13">
                  <c:v>1.32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VY(m/s)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val>
            <c:numRef>
              <c:f>Sheet1!$G$2:$G$15</c:f>
              <c:numCache>
                <c:formatCode>General</c:formatCode>
                <c:ptCount val="14"/>
                <c:pt idx="0">
                  <c:v>-1.53</c:v>
                </c:pt>
                <c:pt idx="1">
                  <c:v>-1.2</c:v>
                </c:pt>
                <c:pt idx="2">
                  <c:v>-0.960000000000001</c:v>
                </c:pt>
                <c:pt idx="3">
                  <c:v>-0.689999999999999</c:v>
                </c:pt>
                <c:pt idx="4">
                  <c:v>-0.239999999999999</c:v>
                </c:pt>
                <c:pt idx="5">
                  <c:v>0.0599999999999987</c:v>
                </c:pt>
                <c:pt idx="6">
                  <c:v>0.27</c:v>
                </c:pt>
                <c:pt idx="7">
                  <c:v>0.690000000000001</c:v>
                </c:pt>
                <c:pt idx="8">
                  <c:v>1.05</c:v>
                </c:pt>
                <c:pt idx="9">
                  <c:v>1.26</c:v>
                </c:pt>
                <c:pt idx="10">
                  <c:v>1.59</c:v>
                </c:pt>
                <c:pt idx="11">
                  <c:v>1.92</c:v>
                </c:pt>
                <c:pt idx="12">
                  <c:v>2.34</c:v>
                </c:pt>
                <c:pt idx="13">
                  <c:v>2.64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49197946"/>
        <c:axId val="652958761"/>
      </c:lineChart>
      <c:catAx>
        <c:axId val="44919794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2958761"/>
        <c:crosses val="autoZero"/>
        <c:auto val="1"/>
        <c:lblAlgn val="ctr"/>
        <c:lblOffset val="100"/>
        <c:noMultiLvlLbl val="0"/>
      </c:catAx>
      <c:valAx>
        <c:axId val="6529587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91979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抛物运动加速度图像</a:t>
            </a:r>
            <a:endParaRPr lang="en-US" altLang="zh-CN"/>
          </a:p>
        </c:rich>
      </c:tx>
      <c:layout>
        <c:manualLayout>
          <c:xMode val="edge"/>
          <c:yMode val="edge"/>
          <c:x val="0.417222222222222"/>
          <c:y val="0.0370370370370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aY(m/s2)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Sheet1!$I$2:$I$14</c:f>
              <c:numCache>
                <c:formatCode>General</c:formatCode>
                <c:ptCount val="13"/>
                <c:pt idx="0">
                  <c:v>9.90000000000002</c:v>
                </c:pt>
                <c:pt idx="1">
                  <c:v>7.19999999999997</c:v>
                </c:pt>
                <c:pt idx="2">
                  <c:v>8.10000000000005</c:v>
                </c:pt>
                <c:pt idx="3">
                  <c:v>13.5</c:v>
                </c:pt>
                <c:pt idx="4">
                  <c:v>8.99999999999994</c:v>
                </c:pt>
                <c:pt idx="5">
                  <c:v>6.30000000000003</c:v>
                </c:pt>
                <c:pt idx="6">
                  <c:v>12.6000000000001</c:v>
                </c:pt>
                <c:pt idx="7">
                  <c:v>10.8</c:v>
                </c:pt>
                <c:pt idx="8">
                  <c:v>6.29999999999996</c:v>
                </c:pt>
                <c:pt idx="9">
                  <c:v>9.90000000000007</c:v>
                </c:pt>
                <c:pt idx="10">
                  <c:v>9.89999999999995</c:v>
                </c:pt>
                <c:pt idx="11">
                  <c:v>12.6</c:v>
                </c:pt>
                <c:pt idx="12">
                  <c:v>8.99999999999999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aX(m/s2)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Sheet1!$K$2:$K$14</c:f>
              <c:numCache>
                <c:formatCode>General</c:formatCode>
                <c:ptCount val="13"/>
                <c:pt idx="0">
                  <c:v>1.80000000000001</c:v>
                </c:pt>
                <c:pt idx="1">
                  <c:v>-0.900000000000027</c:v>
                </c:pt>
                <c:pt idx="2">
                  <c:v>0</c:v>
                </c:pt>
                <c:pt idx="3">
                  <c:v>-1.80000000000002</c:v>
                </c:pt>
                <c:pt idx="4">
                  <c:v>1.79999999999999</c:v>
                </c:pt>
                <c:pt idx="5">
                  <c:v>1.8</c:v>
                </c:pt>
                <c:pt idx="6">
                  <c:v>-2.69999999999995</c:v>
                </c:pt>
                <c:pt idx="7">
                  <c:v>-5.99520433297585e-14</c:v>
                </c:pt>
                <c:pt idx="8">
                  <c:v>0.900000000000007</c:v>
                </c:pt>
                <c:pt idx="9">
                  <c:v>6.66133814775094e-14</c:v>
                </c:pt>
                <c:pt idx="10">
                  <c:v>-0.900000000000074</c:v>
                </c:pt>
                <c:pt idx="11">
                  <c:v>2.70000000000004</c:v>
                </c:pt>
                <c:pt idx="12">
                  <c:v>-1.80000000000003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86333272"/>
        <c:axId val="621161693"/>
      </c:lineChart>
      <c:catAx>
        <c:axId val="986333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161693"/>
        <c:crosses val="autoZero"/>
        <c:auto val="1"/>
        <c:lblAlgn val="ctr"/>
        <c:lblOffset val="100"/>
        <c:noMultiLvlLbl val="0"/>
      </c:catAx>
      <c:valAx>
        <c:axId val="6211616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6333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304800</xdr:colOff>
      <xdr:row>1</xdr:row>
      <xdr:rowOff>82550</xdr:rowOff>
    </xdr:from>
    <xdr:to>
      <xdr:col>19</xdr:col>
      <xdr:colOff>0</xdr:colOff>
      <xdr:row>16</xdr:row>
      <xdr:rowOff>158750</xdr:rowOff>
    </xdr:to>
    <xdr:graphicFrame>
      <xdr:nvGraphicFramePr>
        <xdr:cNvPr id="3" name="图表 2"/>
        <xdr:cNvGraphicFramePr/>
      </xdr:nvGraphicFramePr>
      <xdr:xfrm>
        <a:off x="9867900" y="2603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317500</xdr:colOff>
      <xdr:row>18</xdr:row>
      <xdr:rowOff>146050</xdr:rowOff>
    </xdr:from>
    <xdr:to>
      <xdr:col>15</xdr:col>
      <xdr:colOff>336550</xdr:colOff>
      <xdr:row>34</xdr:row>
      <xdr:rowOff>44450</xdr:rowOff>
    </xdr:to>
    <xdr:graphicFrame>
      <xdr:nvGraphicFramePr>
        <xdr:cNvPr id="4" name="图表 3"/>
        <xdr:cNvGraphicFramePr/>
      </xdr:nvGraphicFramePr>
      <xdr:xfrm>
        <a:off x="7194550" y="3346450"/>
        <a:ext cx="51435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222250</xdr:colOff>
      <xdr:row>18</xdr:row>
      <xdr:rowOff>152400</xdr:rowOff>
    </xdr:from>
    <xdr:to>
      <xdr:col>8</xdr:col>
      <xdr:colOff>317500</xdr:colOff>
      <xdr:row>34</xdr:row>
      <xdr:rowOff>50800</xdr:rowOff>
    </xdr:to>
    <xdr:graphicFrame>
      <xdr:nvGraphicFramePr>
        <xdr:cNvPr id="5" name="图表 4"/>
        <xdr:cNvGraphicFramePr/>
      </xdr:nvGraphicFramePr>
      <xdr:xfrm>
        <a:off x="2622550" y="33528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S22" sqref="S22"/>
    </sheetView>
  </sheetViews>
  <sheetFormatPr defaultColWidth="8.72727272727273" defaultRowHeight="14"/>
  <cols>
    <col min="2" max="11" width="12.8181818181818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2</v>
      </c>
      <c r="C2">
        <v>55.1</v>
      </c>
      <c r="D2">
        <f>B3-B2</f>
        <v>4.3</v>
      </c>
      <c r="E2">
        <f>D2*30/100</f>
        <v>1.29</v>
      </c>
      <c r="F2">
        <f>C3-C2</f>
        <v>-5.1</v>
      </c>
      <c r="G2">
        <f>F2*30/100</f>
        <v>-1.53</v>
      </c>
      <c r="H2">
        <f>G3-G2</f>
        <v>0.330000000000001</v>
      </c>
      <c r="I2">
        <f>H2*30</f>
        <v>9.90000000000002</v>
      </c>
      <c r="J2">
        <f>E3-E2</f>
        <v>0.0600000000000003</v>
      </c>
      <c r="K2">
        <f>J2*30</f>
        <v>1.80000000000001</v>
      </c>
    </row>
    <row r="3" spans="1:11">
      <c r="A3">
        <v>2</v>
      </c>
      <c r="B3">
        <v>6.3</v>
      </c>
      <c r="C3">
        <v>50</v>
      </c>
      <c r="D3">
        <f t="shared" ref="D3:D16" si="0">B4-B3</f>
        <v>4.5</v>
      </c>
      <c r="E3">
        <f t="shared" ref="E3:E15" si="1">D3*30/100</f>
        <v>1.35</v>
      </c>
      <c r="F3">
        <f t="shared" ref="F3:F15" si="2">C4-C3</f>
        <v>-4</v>
      </c>
      <c r="G3">
        <f t="shared" ref="G3:G15" si="3">F3*30/100</f>
        <v>-1.2</v>
      </c>
      <c r="H3">
        <f t="shared" ref="H3:H15" si="4">G4-G3</f>
        <v>0.239999999999999</v>
      </c>
      <c r="I3">
        <f t="shared" ref="I3:I14" si="5">H3*30</f>
        <v>7.19999999999997</v>
      </c>
      <c r="J3">
        <f t="shared" ref="J3:J14" si="6">E4-E3</f>
        <v>-0.0300000000000009</v>
      </c>
      <c r="K3">
        <f t="shared" ref="K3:K14" si="7">J3*30</f>
        <v>-0.900000000000027</v>
      </c>
    </row>
    <row r="4" spans="1:11">
      <c r="A4">
        <v>3</v>
      </c>
      <c r="B4">
        <v>10.8</v>
      </c>
      <c r="C4">
        <v>46</v>
      </c>
      <c r="D4">
        <f t="shared" si="0"/>
        <v>4.4</v>
      </c>
      <c r="E4">
        <f t="shared" si="1"/>
        <v>1.32</v>
      </c>
      <c r="F4">
        <f t="shared" si="2"/>
        <v>-3.2</v>
      </c>
      <c r="G4">
        <f t="shared" si="3"/>
        <v>-0.960000000000001</v>
      </c>
      <c r="H4">
        <f t="shared" si="4"/>
        <v>0.270000000000002</v>
      </c>
      <c r="I4">
        <f t="shared" si="5"/>
        <v>8.10000000000005</v>
      </c>
      <c r="J4">
        <f t="shared" si="6"/>
        <v>0</v>
      </c>
      <c r="K4">
        <f t="shared" si="7"/>
        <v>0</v>
      </c>
    </row>
    <row r="5" spans="1:11">
      <c r="A5">
        <v>4</v>
      </c>
      <c r="B5">
        <v>15.2</v>
      </c>
      <c r="C5">
        <v>42.8</v>
      </c>
      <c r="D5">
        <f t="shared" si="0"/>
        <v>4.4</v>
      </c>
      <c r="E5">
        <f t="shared" si="1"/>
        <v>1.32</v>
      </c>
      <c r="F5">
        <f t="shared" si="2"/>
        <v>-2.3</v>
      </c>
      <c r="G5">
        <f t="shared" si="3"/>
        <v>-0.689999999999999</v>
      </c>
      <c r="H5">
        <f t="shared" si="4"/>
        <v>0.45</v>
      </c>
      <c r="I5">
        <f t="shared" si="5"/>
        <v>13.5</v>
      </c>
      <c r="J5">
        <f t="shared" si="6"/>
        <v>-0.0600000000000007</v>
      </c>
      <c r="K5">
        <f t="shared" si="7"/>
        <v>-1.80000000000002</v>
      </c>
    </row>
    <row r="6" spans="1:11">
      <c r="A6">
        <v>5</v>
      </c>
      <c r="B6">
        <v>19.6</v>
      </c>
      <c r="C6">
        <v>40.5</v>
      </c>
      <c r="D6">
        <f t="shared" si="0"/>
        <v>4.2</v>
      </c>
      <c r="E6">
        <f t="shared" si="1"/>
        <v>1.26</v>
      </c>
      <c r="F6">
        <f t="shared" si="2"/>
        <v>-0.799999999999997</v>
      </c>
      <c r="G6">
        <f t="shared" si="3"/>
        <v>-0.239999999999999</v>
      </c>
      <c r="H6">
        <f t="shared" si="4"/>
        <v>0.299999999999998</v>
      </c>
      <c r="I6">
        <f t="shared" si="5"/>
        <v>8.99999999999994</v>
      </c>
      <c r="J6">
        <f t="shared" si="6"/>
        <v>0.0599999999999996</v>
      </c>
      <c r="K6">
        <f t="shared" si="7"/>
        <v>1.79999999999999</v>
      </c>
    </row>
    <row r="7" spans="1:11">
      <c r="A7">
        <v>6</v>
      </c>
      <c r="B7">
        <v>23.8</v>
      </c>
      <c r="C7">
        <v>39.7</v>
      </c>
      <c r="D7">
        <f t="shared" si="0"/>
        <v>4.4</v>
      </c>
      <c r="E7">
        <f t="shared" si="1"/>
        <v>1.32</v>
      </c>
      <c r="F7">
        <f t="shared" si="2"/>
        <v>0.199999999999996</v>
      </c>
      <c r="G7">
        <f t="shared" si="3"/>
        <v>0.0599999999999987</v>
      </c>
      <c r="H7">
        <f t="shared" si="4"/>
        <v>0.210000000000001</v>
      </c>
      <c r="I7">
        <f t="shared" si="5"/>
        <v>6.30000000000003</v>
      </c>
      <c r="J7">
        <f t="shared" si="6"/>
        <v>0.0600000000000001</v>
      </c>
      <c r="K7">
        <f t="shared" si="7"/>
        <v>1.8</v>
      </c>
    </row>
    <row r="8" spans="1:11">
      <c r="A8">
        <v>7</v>
      </c>
      <c r="B8">
        <v>28.2</v>
      </c>
      <c r="C8">
        <v>39.9</v>
      </c>
      <c r="D8">
        <f t="shared" si="0"/>
        <v>4.6</v>
      </c>
      <c r="E8">
        <f t="shared" si="1"/>
        <v>1.38</v>
      </c>
      <c r="F8">
        <f t="shared" si="2"/>
        <v>0.899999999999999</v>
      </c>
      <c r="G8">
        <f t="shared" si="3"/>
        <v>0.27</v>
      </c>
      <c r="H8">
        <f t="shared" si="4"/>
        <v>0.420000000000002</v>
      </c>
      <c r="I8">
        <f t="shared" si="5"/>
        <v>12.6000000000001</v>
      </c>
      <c r="J8">
        <f t="shared" si="6"/>
        <v>-0.0899999999999983</v>
      </c>
      <c r="K8">
        <f t="shared" si="7"/>
        <v>-2.69999999999995</v>
      </c>
    </row>
    <row r="9" spans="1:11">
      <c r="A9">
        <v>8</v>
      </c>
      <c r="B9">
        <v>32.8</v>
      </c>
      <c r="C9">
        <v>40.8</v>
      </c>
      <c r="D9">
        <f t="shared" si="0"/>
        <v>4.3</v>
      </c>
      <c r="E9">
        <f t="shared" si="1"/>
        <v>1.29</v>
      </c>
      <c r="F9">
        <f t="shared" si="2"/>
        <v>2.3</v>
      </c>
      <c r="G9">
        <f t="shared" si="3"/>
        <v>0.690000000000001</v>
      </c>
      <c r="H9">
        <f t="shared" si="4"/>
        <v>0.359999999999999</v>
      </c>
      <c r="I9">
        <f t="shared" si="5"/>
        <v>10.8</v>
      </c>
      <c r="J9">
        <f t="shared" si="6"/>
        <v>-1.99840144432528e-15</v>
      </c>
      <c r="K9">
        <f t="shared" si="7"/>
        <v>-5.99520433297585e-14</v>
      </c>
    </row>
    <row r="10" spans="1:11">
      <c r="A10">
        <v>9</v>
      </c>
      <c r="B10">
        <v>37.1</v>
      </c>
      <c r="C10">
        <v>43.1</v>
      </c>
      <c r="D10">
        <f t="shared" si="0"/>
        <v>4.3</v>
      </c>
      <c r="E10">
        <f t="shared" si="1"/>
        <v>1.29</v>
      </c>
      <c r="F10">
        <f t="shared" si="2"/>
        <v>3.5</v>
      </c>
      <c r="G10">
        <f t="shared" si="3"/>
        <v>1.05</v>
      </c>
      <c r="H10">
        <f t="shared" si="4"/>
        <v>0.209999999999999</v>
      </c>
      <c r="I10">
        <f t="shared" si="5"/>
        <v>6.29999999999996</v>
      </c>
      <c r="J10">
        <f t="shared" si="6"/>
        <v>0.0300000000000002</v>
      </c>
      <c r="K10">
        <f t="shared" si="7"/>
        <v>0.900000000000007</v>
      </c>
    </row>
    <row r="11" spans="1:11">
      <c r="A11">
        <v>10</v>
      </c>
      <c r="B11">
        <v>41.4</v>
      </c>
      <c r="C11">
        <v>46.6</v>
      </c>
      <c r="D11">
        <f t="shared" si="0"/>
        <v>4.4</v>
      </c>
      <c r="E11">
        <f t="shared" si="1"/>
        <v>1.32</v>
      </c>
      <c r="F11">
        <f t="shared" si="2"/>
        <v>4.2</v>
      </c>
      <c r="G11">
        <f t="shared" si="3"/>
        <v>1.26</v>
      </c>
      <c r="H11">
        <f t="shared" si="4"/>
        <v>0.330000000000003</v>
      </c>
      <c r="I11">
        <f t="shared" si="5"/>
        <v>9.90000000000007</v>
      </c>
      <c r="J11">
        <f t="shared" si="6"/>
        <v>2.22044604925031e-15</v>
      </c>
      <c r="K11">
        <f t="shared" si="7"/>
        <v>6.66133814775094e-14</v>
      </c>
    </row>
    <row r="12" spans="1:11">
      <c r="A12">
        <v>11</v>
      </c>
      <c r="B12">
        <v>45.8</v>
      </c>
      <c r="C12">
        <v>50.8</v>
      </c>
      <c r="D12">
        <f t="shared" si="0"/>
        <v>4.40000000000001</v>
      </c>
      <c r="E12">
        <f t="shared" si="1"/>
        <v>1.32</v>
      </c>
      <c r="F12">
        <f t="shared" si="2"/>
        <v>5.3</v>
      </c>
      <c r="G12">
        <f t="shared" si="3"/>
        <v>1.59</v>
      </c>
      <c r="H12">
        <f t="shared" si="4"/>
        <v>0.329999999999998</v>
      </c>
      <c r="I12">
        <f t="shared" si="5"/>
        <v>9.89999999999995</v>
      </c>
      <c r="J12">
        <f t="shared" si="6"/>
        <v>-0.0300000000000025</v>
      </c>
      <c r="K12">
        <f t="shared" si="7"/>
        <v>-0.900000000000074</v>
      </c>
    </row>
    <row r="13" spans="1:11">
      <c r="A13">
        <v>12</v>
      </c>
      <c r="B13">
        <v>50.2</v>
      </c>
      <c r="C13">
        <v>56.1</v>
      </c>
      <c r="D13">
        <f t="shared" si="0"/>
        <v>4.3</v>
      </c>
      <c r="E13">
        <f t="shared" si="1"/>
        <v>1.29</v>
      </c>
      <c r="F13">
        <f t="shared" si="2"/>
        <v>6.4</v>
      </c>
      <c r="G13">
        <f t="shared" si="3"/>
        <v>1.92</v>
      </c>
      <c r="H13">
        <f t="shared" si="4"/>
        <v>0.419999999999999</v>
      </c>
      <c r="I13">
        <f t="shared" si="5"/>
        <v>12.6</v>
      </c>
      <c r="J13">
        <f t="shared" si="6"/>
        <v>0.0900000000000014</v>
      </c>
      <c r="K13">
        <f t="shared" si="7"/>
        <v>2.70000000000004</v>
      </c>
    </row>
    <row r="14" spans="1:11">
      <c r="A14">
        <v>13</v>
      </c>
      <c r="B14">
        <v>54.5</v>
      </c>
      <c r="C14">
        <v>62.5</v>
      </c>
      <c r="D14">
        <f t="shared" si="0"/>
        <v>4.6</v>
      </c>
      <c r="E14">
        <f t="shared" si="1"/>
        <v>1.38</v>
      </c>
      <c r="F14">
        <f t="shared" si="2"/>
        <v>7.8</v>
      </c>
      <c r="G14">
        <f t="shared" si="3"/>
        <v>2.34</v>
      </c>
      <c r="H14">
        <f t="shared" si="4"/>
        <v>0.3</v>
      </c>
      <c r="I14">
        <f t="shared" si="5"/>
        <v>8.99999999999999</v>
      </c>
      <c r="J14">
        <f t="shared" si="6"/>
        <v>-0.0600000000000012</v>
      </c>
      <c r="K14">
        <f t="shared" si="7"/>
        <v>-1.80000000000003</v>
      </c>
    </row>
    <row r="15" spans="1:7">
      <c r="A15">
        <v>14</v>
      </c>
      <c r="B15">
        <v>59.1</v>
      </c>
      <c r="C15">
        <v>70.3</v>
      </c>
      <c r="D15">
        <f t="shared" si="0"/>
        <v>4.4</v>
      </c>
      <c r="E15">
        <f t="shared" si="1"/>
        <v>1.32</v>
      </c>
      <c r="F15">
        <f t="shared" si="2"/>
        <v>8.8</v>
      </c>
      <c r="G15">
        <f t="shared" si="3"/>
        <v>2.64</v>
      </c>
    </row>
    <row r="16" spans="1:3">
      <c r="A16">
        <v>15</v>
      </c>
      <c r="B16">
        <v>63.5</v>
      </c>
      <c r="C16">
        <v>79.1</v>
      </c>
    </row>
    <row r="17" spans="1:11">
      <c r="A17" t="s">
        <v>11</v>
      </c>
      <c r="B17">
        <f>AVERAGE(B2:B16)</f>
        <v>32.6866666666667</v>
      </c>
      <c r="C17">
        <f t="shared" ref="C17:K17" si="8">AVERAGE(C2:C16)</f>
        <v>50.8866666666667</v>
      </c>
      <c r="D17">
        <f t="shared" si="8"/>
        <v>4.39285714285714</v>
      </c>
      <c r="E17">
        <f t="shared" si="8"/>
        <v>1.31785714285714</v>
      </c>
      <c r="F17">
        <f t="shared" si="8"/>
        <v>1.71428571428571</v>
      </c>
      <c r="G17">
        <f t="shared" si="8"/>
        <v>0.514285714285714</v>
      </c>
      <c r="H17">
        <f t="shared" si="8"/>
        <v>0.320769230769231</v>
      </c>
      <c r="I17">
        <f t="shared" si="8"/>
        <v>9.62307692307692</v>
      </c>
      <c r="J17">
        <f t="shared" si="8"/>
        <v>0.00230769230769217</v>
      </c>
      <c r="K17">
        <f t="shared" si="8"/>
        <v>0.0692307692307652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ThundeRdbot</dc:creator>
  <cp:lastModifiedBy>宇&amp;轩</cp:lastModifiedBy>
  <dcterms:created xsi:type="dcterms:W3CDTF">2024-06-11T08:01:00Z</dcterms:created>
  <dcterms:modified xsi:type="dcterms:W3CDTF">2024-06-11T10:52:24Z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0070796CD4324F5E8C3A33675A9792BE_12</vt:lpwstr>
  </property>
</Properties>
</file>